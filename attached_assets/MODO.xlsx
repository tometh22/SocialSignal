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o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3">
      <text>
        <t xml:space="preserve">Actualizado con datos del cliente
</t>
      </text>
    </comment>
    <comment authorId="0" ref="O8">
      <text>
        <t xml:space="preserve">Estaban los dos en 74, se dividio el tiempo en partes iguales</t>
      </text>
    </comment>
  </commentList>
</comments>
</file>

<file path=xl/sharedStrings.xml><?xml version="1.0" encoding="utf-8"?>
<sst xmlns="http://schemas.openxmlformats.org/spreadsheetml/2006/main" count="107" uniqueCount="53">
  <si>
    <t>FEEDBACK POR ENTREGABLE</t>
  </si>
  <si>
    <t>TOTAL MODO TRIMESTRAL</t>
  </si>
  <si>
    <t>Feedback Operaciones (20%)</t>
  </si>
  <si>
    <t>Promedio</t>
  </si>
  <si>
    <t>Calidad general del informe</t>
  </si>
  <si>
    <t>Claridad y Relevancia de los insights</t>
  </si>
  <si>
    <t>Presentación y formato</t>
  </si>
  <si>
    <t>NPS</t>
  </si>
  <si>
    <t>Feedback Cliente Encuesta 20%</t>
  </si>
  <si>
    <t>Feedback Operaciones 20%</t>
  </si>
  <si>
    <t>Cumplimiento Horas 10%</t>
  </si>
  <si>
    <t>Feedback general cliente 20%</t>
  </si>
  <si>
    <t>Cumplimiento del brief 30%</t>
  </si>
  <si>
    <t>SCORE TOTAL PONDERADO</t>
  </si>
  <si>
    <t>Cliente</t>
  </si>
  <si>
    <t>Entregable</t>
  </si>
  <si>
    <t>Mes de Entrega</t>
  </si>
  <si>
    <t>Analistas</t>
  </si>
  <si>
    <t>PM</t>
  </si>
  <si>
    <t>Entrega a tiempo</t>
  </si>
  <si>
    <t>Retrabajo</t>
  </si>
  <si>
    <t>Calidad Narrativa</t>
  </si>
  <si>
    <t>Efectividad de los graficos</t>
  </si>
  <si>
    <t>Formato y Diseño</t>
  </si>
  <si>
    <t>Insights relevantes</t>
  </si>
  <si>
    <t>Feedback Operaciones</t>
  </si>
  <si>
    <t>Disponible</t>
  </si>
  <si>
    <t>Real</t>
  </si>
  <si>
    <t>Cumplimiento Horas</t>
  </si>
  <si>
    <t>Feedback general cliente</t>
  </si>
  <si>
    <t>Cumplimiento del brief</t>
  </si>
  <si>
    <t>Modo</t>
  </si>
  <si>
    <t xml:space="preserve">Ejecutivo Sony One </t>
  </si>
  <si>
    <t>Vanu, Trini</t>
  </si>
  <si>
    <t>Vanu</t>
  </si>
  <si>
    <t>Si</t>
  </si>
  <si>
    <t>Mensual Enero</t>
  </si>
  <si>
    <t>No</t>
  </si>
  <si>
    <t>COMENTARIOS CLIENTE</t>
  </si>
  <si>
    <t>Ejecutivo Telepase</t>
  </si>
  <si>
    <t>En MODO necesitamos que la info sea mas visual. Ajustaria un poco la info para que no haya tanto texto y pueda visualizarse la informacion de manera que impacte más a las personas que toman decisiones</t>
  </si>
  <si>
    <t>Mensual Febrero</t>
  </si>
  <si>
    <t>Bien: entrega y presentacion de los informes Refuerzo: tiempos. A veces necesitamos los informes esten antes para poder tomar otro tipo de decisión. Sin embargo, cada vez que necesitamos algo, estan ahi presentandolo :)</t>
  </si>
  <si>
    <t>Ejecutivo NFC</t>
  </si>
  <si>
    <t>Ejecutivo Sony One Febrero</t>
  </si>
  <si>
    <t>Mensual Marzo</t>
  </si>
  <si>
    <t>Ejecutivo 2</t>
  </si>
  <si>
    <t>Ejecutivo Comercios</t>
  </si>
  <si>
    <t>Mensual Abril</t>
  </si>
  <si>
    <t>Trini, Sol</t>
  </si>
  <si>
    <t>Ejecutivo 1</t>
  </si>
  <si>
    <t>Porcentaje de Informes Entregados a Tiempo</t>
  </si>
  <si>
    <t>Tiempo Promedio por Informe (horas/informe)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</si>
</sst>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color rgb="FFFFFFFF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11.0"/>
      <color rgb="FF262627"/>
      <name val="-apple-system"/>
    </font>
    <font>
      <b/>
      <color rgb="FF6AA84F"/>
      <name val="Calibri"/>
    </font>
    <font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3" fontId="5" numFmtId="4" xfId="0" applyAlignment="1" applyFont="1" applyNumberFormat="1">
      <alignment horizontal="center" readingOrder="0" shrinkToFit="0" vertical="center" wrapText="1"/>
    </xf>
    <xf borderId="0" fillId="3" fontId="2" numFmtId="2" xfId="0" applyAlignment="1" applyFont="1" applyNumberFormat="1">
      <alignment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5" fontId="2" numFmtId="4" xfId="0" applyAlignment="1" applyFill="1" applyFont="1" applyNumberFormat="1">
      <alignment horizontal="center" readingOrder="0" shrinkToFit="0" vertical="center" wrapText="1"/>
    </xf>
    <xf borderId="0" fillId="6" fontId="2" numFmtId="4" xfId="0" applyAlignment="1" applyFill="1" applyFont="1" applyNumberFormat="1">
      <alignment horizontal="center" readingOrder="0" shrinkToFit="0" vertical="center" wrapText="1"/>
    </xf>
    <xf borderId="0" fillId="3" fontId="2" numFmtId="4" xfId="0" applyAlignment="1" applyFont="1" applyNumberFormat="1">
      <alignment shrinkToFit="0" vertical="center" wrapText="1"/>
    </xf>
    <xf borderId="0" fillId="7" fontId="2" numFmtId="0" xfId="0" applyAlignment="1" applyFill="1" applyFont="1">
      <alignment horizontal="center" readingOrder="0" shrinkToFit="0" vertical="center" wrapText="1"/>
    </xf>
    <xf borderId="0" fillId="3" fontId="5" numFmtId="4" xfId="0" applyAlignment="1" applyFont="1" applyNumberFormat="1">
      <alignment horizontal="center" shrinkToFit="0" vertical="center" wrapText="1"/>
    </xf>
    <xf borderId="0" fillId="8" fontId="2" numFmtId="0" xfId="0" applyAlignment="1" applyFill="1" applyFont="1">
      <alignment horizontal="center" readingOrder="0" shrinkToFit="0" vertical="center" wrapText="1"/>
    </xf>
    <xf borderId="0" fillId="9" fontId="2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0" fillId="10" fontId="7" numFmtId="0" xfId="0" applyAlignment="1" applyFill="1" applyFont="1">
      <alignment readingOrder="0"/>
    </xf>
    <xf borderId="0" fillId="2" fontId="1" numFmtId="9" xfId="0" applyAlignment="1" applyFont="1" applyNumberFormat="1">
      <alignment horizontal="center" shrinkToFit="0" vertical="center" wrapText="1"/>
    </xf>
    <xf borderId="0" fillId="0" fontId="6" numFmtId="2" xfId="0" applyAlignment="1" applyFont="1" applyNumberFormat="1">
      <alignment horizontal="center" shrinkToFit="0" vertical="center" wrapText="1"/>
    </xf>
    <xf borderId="0" fillId="2" fontId="1" numFmtId="4" xfId="0" applyAlignment="1" applyFont="1" applyNumberForma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2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6.13"/>
    <col customWidth="1" min="3" max="3" width="13.38"/>
    <col customWidth="1" min="4" max="4" width="14.63"/>
    <col customWidth="1" min="5" max="5" width="11.25"/>
    <col customWidth="1" min="6" max="6" width="19.38"/>
    <col customWidth="1" min="7" max="7" width="11.88"/>
    <col customWidth="1" min="8" max="8" width="16.63"/>
    <col customWidth="1" min="9" max="9" width="22.13"/>
    <col customWidth="1" min="10" max="10" width="15.13"/>
    <col customWidth="1" min="11" max="11" width="16.13"/>
    <col customWidth="1" min="12" max="12" width="19.25"/>
    <col customWidth="1" min="13" max="13" width="3.13"/>
    <col customWidth="1" min="14" max="14" width="9.5"/>
    <col customWidth="1" min="15" max="15" width="11.63"/>
    <col customWidth="1" min="16" max="16" width="22.25"/>
    <col customWidth="1" min="17" max="17" width="17.25"/>
    <col customWidth="1" min="18" max="18" width="3.13"/>
    <col customWidth="1" min="19" max="20" width="20.88"/>
    <col customWidth="1" min="21" max="21" width="3.13"/>
    <col customWidth="1" min="22" max="23" width="19.0"/>
    <col customWidth="1" min="24" max="24" width="3.13"/>
    <col customWidth="1" min="25" max="25" width="8.75"/>
    <col customWidth="1" min="26" max="26" width="23.25"/>
    <col customWidth="1" min="27" max="27" width="20.63"/>
    <col customWidth="1" min="28" max="28" width="12.88"/>
    <col customWidth="1" min="29" max="29" width="4.38"/>
    <col customWidth="1" min="30" max="30" width="14.75"/>
    <col customWidth="1" min="31" max="31" width="23.0"/>
    <col customWidth="1" min="32" max="32" width="21.13"/>
    <col customWidth="1" min="33" max="33" width="20.88"/>
    <col customWidth="1" min="34" max="34" width="22.88"/>
    <col customWidth="1" min="35" max="35" width="12.75"/>
  </cols>
  <sheetData>
    <row r="1" ht="24.0" customHeight="1">
      <c r="A1" s="1"/>
      <c r="B1" s="1"/>
      <c r="C1" s="1"/>
      <c r="D1" s="1"/>
      <c r="E1" s="1"/>
      <c r="F1" s="1"/>
      <c r="G1" s="1"/>
      <c r="H1" s="1" t="s">
        <v>0</v>
      </c>
      <c r="Y1" s="2"/>
      <c r="Z1" s="1" t="s">
        <v>1</v>
      </c>
      <c r="AI1" s="2"/>
    </row>
    <row r="2">
      <c r="A2" s="1"/>
      <c r="B2" s="1"/>
      <c r="C2" s="1"/>
      <c r="D2" s="1"/>
      <c r="E2" s="1"/>
      <c r="F2" s="1"/>
      <c r="G2" s="1"/>
      <c r="H2" s="1" t="s">
        <v>2</v>
      </c>
      <c r="L2" s="3" t="s">
        <v>3</v>
      </c>
      <c r="M2" s="3"/>
      <c r="N2" s="4"/>
      <c r="O2" s="4"/>
      <c r="P2" s="4"/>
      <c r="Q2" s="3" t="s">
        <v>3</v>
      </c>
      <c r="R2" s="3"/>
      <c r="S2" s="1"/>
      <c r="T2" s="3" t="s">
        <v>3</v>
      </c>
      <c r="U2" s="3"/>
      <c r="V2" s="1"/>
      <c r="W2" s="3" t="s">
        <v>3</v>
      </c>
      <c r="X2" s="2"/>
      <c r="Y2" s="2"/>
      <c r="Z2" s="1" t="s">
        <v>4</v>
      </c>
      <c r="AA2" s="1" t="s">
        <v>5</v>
      </c>
      <c r="AB2" s="1" t="s">
        <v>6</v>
      </c>
      <c r="AC2" s="1" t="s">
        <v>7</v>
      </c>
      <c r="AD2" s="1" t="s">
        <v>8</v>
      </c>
      <c r="AE2" s="5" t="s">
        <v>9</v>
      </c>
      <c r="AF2" s="5" t="s">
        <v>10</v>
      </c>
      <c r="AG2" s="5" t="s">
        <v>11</v>
      </c>
      <c r="AH2" s="5" t="s">
        <v>12</v>
      </c>
      <c r="AI2" s="5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3" t="s">
        <v>25</v>
      </c>
      <c r="M3" s="3"/>
      <c r="N3" s="1" t="s">
        <v>26</v>
      </c>
      <c r="O3" s="1" t="s">
        <v>27</v>
      </c>
      <c r="P3" s="1" t="s">
        <v>28</v>
      </c>
      <c r="Q3" s="3" t="s">
        <v>28</v>
      </c>
      <c r="R3" s="3"/>
      <c r="S3" s="1" t="s">
        <v>29</v>
      </c>
      <c r="T3" s="3" t="s">
        <v>29</v>
      </c>
      <c r="U3" s="3"/>
      <c r="V3" s="1" t="s">
        <v>30</v>
      </c>
      <c r="W3" s="3" t="s">
        <v>30</v>
      </c>
      <c r="X3" s="2"/>
      <c r="Y3" s="2"/>
      <c r="Z3" s="6">
        <v>5.0</v>
      </c>
      <c r="AA3" s="7">
        <v>5.0</v>
      </c>
      <c r="AB3" s="7">
        <v>4.5</v>
      </c>
      <c r="AC3" s="7">
        <v>5.0</v>
      </c>
      <c r="AD3" s="8">
        <f t="array" ref="AD3">IFERROR(AVERAGE(IF(ISNUMBER(Z3:AC3), Z3:AC3)), "")</f>
        <v>4.875</v>
      </c>
      <c r="AE3" s="9">
        <f>L35</f>
        <v>4.90625</v>
      </c>
      <c r="AF3" s="9">
        <f>Q35</f>
        <v>4.833333333</v>
      </c>
      <c r="AG3" s="9">
        <f>T35</f>
        <v>4.714285714</v>
      </c>
      <c r="AH3" s="9">
        <f>W35</f>
        <v>4.857142857</v>
      </c>
      <c r="AI3" s="10">
        <f> (AD3*0.2) + (AE3*0.2) + (AF3*0.1) + (AG3*0.2) + (AH3*0.3)</f>
        <v>4.839583333</v>
      </c>
    </row>
    <row r="4">
      <c r="A4" s="11" t="s">
        <v>31</v>
      </c>
      <c r="B4" s="11" t="s">
        <v>32</v>
      </c>
      <c r="C4" s="12">
        <v>1.0</v>
      </c>
      <c r="D4" s="13" t="s">
        <v>33</v>
      </c>
      <c r="E4" s="11" t="s">
        <v>34</v>
      </c>
      <c r="F4" s="14" t="s">
        <v>35</v>
      </c>
      <c r="G4" s="14" t="s">
        <v>35</v>
      </c>
      <c r="H4" s="15">
        <v>5.0</v>
      </c>
      <c r="I4" s="15">
        <v>5.0</v>
      </c>
      <c r="J4" s="15">
        <v>5.0</v>
      </c>
      <c r="K4" s="15">
        <v>5.0</v>
      </c>
      <c r="L4" s="8">
        <f t="array" ref="L4">IFERROR(AVERAGE(IF(ISNUMBER(H4:K4), H4:K4)), "")</f>
        <v>5</v>
      </c>
      <c r="M4" s="16" t="str">
        <f t="shared" ref="M4:M35" si="1">IF(L4&lt;=2.5, "🔴", IF(L4&lt;=3.9, "🟡", "🟢"))</f>
        <v>🟢</v>
      </c>
      <c r="N4" s="17">
        <v>40.0</v>
      </c>
      <c r="O4" s="17">
        <v>42.58</v>
      </c>
      <c r="P4" s="17">
        <v>4.0</v>
      </c>
      <c r="Q4" s="18">
        <f t="array" ref="Q4">IFERROR(AVERAGE(IF(ISNUMBER(P4), P4)), "")</f>
        <v>4</v>
      </c>
      <c r="R4" s="16" t="str">
        <f t="shared" ref="R4:R35" si="2">IF(Q4&lt;=2.5, "🔴", IF(Q4&lt;=3.9, "🟡", "🟢"))</f>
        <v>🟢</v>
      </c>
      <c r="S4" s="19">
        <v>4.0</v>
      </c>
      <c r="T4" s="18">
        <f t="array" ref="T4">IFERROR(AVERAGE(IF(ISNUMBER(S4), S4)), "")</f>
        <v>4</v>
      </c>
      <c r="U4" s="16" t="str">
        <f t="shared" ref="U4:U35" si="3">IF(T4&lt;=2.5, "🔴", IF(T4&lt;=3.9, "🟡", "🟢"))</f>
        <v>🟢</v>
      </c>
      <c r="V4" s="20">
        <v>5.0</v>
      </c>
      <c r="W4" s="18">
        <f t="array" ref="W4">IFERROR(AVERAGE(IF(ISNUMBER(V4), V4)), "")</f>
        <v>5</v>
      </c>
      <c r="X4" s="16" t="str">
        <f t="shared" ref="X4:X35" si="4">IF(W4&lt;=2.5, "🔴", IF(W4&lt;=3.9, "🟡", "🟢"))</f>
        <v>🟢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>
      <c r="A5" s="11" t="s">
        <v>31</v>
      </c>
      <c r="B5" s="11" t="s">
        <v>36</v>
      </c>
      <c r="C5" s="12">
        <v>2.0</v>
      </c>
      <c r="D5" s="13" t="s">
        <v>33</v>
      </c>
      <c r="E5" s="11" t="s">
        <v>34</v>
      </c>
      <c r="F5" s="14" t="s">
        <v>35</v>
      </c>
      <c r="G5" s="14" t="s">
        <v>37</v>
      </c>
      <c r="H5" s="15">
        <v>3.0</v>
      </c>
      <c r="I5" s="15">
        <v>5.0</v>
      </c>
      <c r="J5" s="15">
        <v>5.0</v>
      </c>
      <c r="K5" s="15">
        <v>4.0</v>
      </c>
      <c r="L5" s="8">
        <f t="array" ref="L5">IFERROR(AVERAGE(IF(ISNUMBER(H5:K5), H5:K5)), "")</f>
        <v>4.25</v>
      </c>
      <c r="M5" s="16" t="str">
        <f t="shared" si="1"/>
        <v>🟢</v>
      </c>
      <c r="N5" s="17">
        <v>45.0</v>
      </c>
      <c r="O5" s="17">
        <v>41.0</v>
      </c>
      <c r="P5" s="17">
        <v>5.0</v>
      </c>
      <c r="Q5" s="18">
        <f t="array" ref="Q5">IFERROR(AVERAGE(IF(ISNUMBER(P5), P5)), "")</f>
        <v>5</v>
      </c>
      <c r="R5" s="16" t="str">
        <f t="shared" si="2"/>
        <v>🟢</v>
      </c>
      <c r="S5" s="19">
        <v>5.0</v>
      </c>
      <c r="T5" s="18">
        <f t="array" ref="T5">IFERROR(AVERAGE(IF(ISNUMBER(S5), S5)), "")</f>
        <v>5</v>
      </c>
      <c r="U5" s="16" t="str">
        <f t="shared" si="3"/>
        <v>🟢</v>
      </c>
      <c r="V5" s="20">
        <v>5.0</v>
      </c>
      <c r="W5" s="18">
        <f t="array" ref="W5">IFERROR(AVERAGE(IF(ISNUMBER(V5), V5)), "")</f>
        <v>5</v>
      </c>
      <c r="X5" s="16" t="str">
        <f t="shared" si="4"/>
        <v>🟢</v>
      </c>
      <c r="Y5" s="2"/>
      <c r="Z5" s="21" t="s">
        <v>38</v>
      </c>
      <c r="AI5" s="2"/>
    </row>
    <row r="6">
      <c r="A6" s="11" t="s">
        <v>31</v>
      </c>
      <c r="B6" s="11" t="s">
        <v>39</v>
      </c>
      <c r="C6" s="12">
        <v>1.0</v>
      </c>
      <c r="D6" s="13" t="s">
        <v>33</v>
      </c>
      <c r="E6" s="11" t="s">
        <v>34</v>
      </c>
      <c r="F6" s="14" t="s">
        <v>35</v>
      </c>
      <c r="G6" s="14" t="s">
        <v>37</v>
      </c>
      <c r="H6" s="15">
        <v>5.0</v>
      </c>
      <c r="I6" s="15">
        <v>5.0</v>
      </c>
      <c r="J6" s="15">
        <v>5.0</v>
      </c>
      <c r="K6" s="15">
        <v>5.0</v>
      </c>
      <c r="L6" s="8">
        <f t="array" ref="L6">IFERROR(AVERAGE(IF(ISNUMBER(H6:K6), H6:K6)), "")</f>
        <v>5</v>
      </c>
      <c r="M6" s="16" t="str">
        <f t="shared" si="1"/>
        <v>🟢</v>
      </c>
      <c r="N6" s="17">
        <v>40.0</v>
      </c>
      <c r="O6" s="17">
        <v>12.33</v>
      </c>
      <c r="P6" s="17">
        <v>5.0</v>
      </c>
      <c r="Q6" s="18">
        <f t="array" ref="Q6">IFERROR(AVERAGE(IF(ISNUMBER(P6), P6)), "")</f>
        <v>5</v>
      </c>
      <c r="R6" s="16" t="str">
        <f t="shared" si="2"/>
        <v>🟢</v>
      </c>
      <c r="S6" s="19">
        <v>5.0</v>
      </c>
      <c r="T6" s="18">
        <f t="array" ref="T6">IFERROR(AVERAGE(IF(ISNUMBER(S6), S6)), "")</f>
        <v>5</v>
      </c>
      <c r="U6" s="16" t="str">
        <f t="shared" si="3"/>
        <v>🟢</v>
      </c>
      <c r="V6" s="20">
        <v>5.0</v>
      </c>
      <c r="W6" s="18">
        <f t="array" ref="W6">IFERROR(AVERAGE(IF(ISNUMBER(V6), V6)), "")</f>
        <v>5</v>
      </c>
      <c r="X6" s="16" t="str">
        <f t="shared" si="4"/>
        <v>🟢</v>
      </c>
      <c r="Y6" s="2"/>
      <c r="Z6" s="11" t="s">
        <v>40</v>
      </c>
      <c r="AI6" s="2"/>
    </row>
    <row r="7">
      <c r="A7" s="11" t="s">
        <v>31</v>
      </c>
      <c r="B7" s="11" t="s">
        <v>41</v>
      </c>
      <c r="C7" s="12">
        <v>3.0</v>
      </c>
      <c r="D7" s="13" t="s">
        <v>33</v>
      </c>
      <c r="E7" s="11" t="s">
        <v>34</v>
      </c>
      <c r="F7" s="14" t="s">
        <v>35</v>
      </c>
      <c r="G7" s="14" t="s">
        <v>37</v>
      </c>
      <c r="H7" s="15">
        <v>5.0</v>
      </c>
      <c r="I7" s="15">
        <v>5.0</v>
      </c>
      <c r="J7" s="15">
        <v>5.0</v>
      </c>
      <c r="K7" s="15">
        <v>5.0</v>
      </c>
      <c r="L7" s="8">
        <f t="array" ref="L7">IFERROR(AVERAGE(IF(ISNUMBER(H7:K7), H7:K7)), "")</f>
        <v>5</v>
      </c>
      <c r="M7" s="16" t="str">
        <f t="shared" si="1"/>
        <v>🟢</v>
      </c>
      <c r="N7" s="17"/>
      <c r="O7" s="17">
        <v>74.33</v>
      </c>
      <c r="P7" s="17">
        <v>5.0</v>
      </c>
      <c r="Q7" s="18">
        <f t="array" ref="Q7">IFERROR(AVERAGE(IF(ISNUMBER(P7), P7)), "")</f>
        <v>5</v>
      </c>
      <c r="R7" s="16" t="str">
        <f t="shared" si="2"/>
        <v>🟢</v>
      </c>
      <c r="S7" s="19">
        <v>5.0</v>
      </c>
      <c r="T7" s="18">
        <f t="array" ref="T7">IFERROR(AVERAGE(IF(ISNUMBER(S7), S7)), "")</f>
        <v>5</v>
      </c>
      <c r="U7" s="16" t="str">
        <f t="shared" si="3"/>
        <v>🟢</v>
      </c>
      <c r="V7" s="20">
        <v>5.0</v>
      </c>
      <c r="W7" s="18">
        <f t="array" ref="W7">IFERROR(AVERAGE(IF(ISNUMBER(V7), V7)), "")</f>
        <v>5</v>
      </c>
      <c r="X7" s="16" t="str">
        <f t="shared" si="4"/>
        <v>🟢</v>
      </c>
      <c r="Y7" s="2"/>
      <c r="Z7" s="22" t="s">
        <v>42</v>
      </c>
      <c r="AA7" s="2"/>
      <c r="AB7" s="2"/>
      <c r="AC7" s="2"/>
      <c r="AD7" s="2"/>
      <c r="AE7" s="2"/>
      <c r="AF7" s="2"/>
      <c r="AG7" s="2"/>
      <c r="AH7" s="2"/>
      <c r="AI7" s="2"/>
    </row>
    <row r="8">
      <c r="A8" s="11" t="s">
        <v>31</v>
      </c>
      <c r="B8" s="11" t="s">
        <v>43</v>
      </c>
      <c r="C8" s="12">
        <v>3.0</v>
      </c>
      <c r="D8" s="13" t="s">
        <v>33</v>
      </c>
      <c r="E8" s="11" t="s">
        <v>34</v>
      </c>
      <c r="F8" s="14" t="s">
        <v>35</v>
      </c>
      <c r="G8" s="14" t="s">
        <v>37</v>
      </c>
      <c r="H8" s="15">
        <v>5.0</v>
      </c>
      <c r="I8" s="15">
        <v>5.0</v>
      </c>
      <c r="J8" s="15">
        <v>5.0</v>
      </c>
      <c r="K8" s="15">
        <v>5.0</v>
      </c>
      <c r="L8" s="8">
        <f t="array" ref="L8">IFERROR(AVERAGE(IF(ISNUMBER(H8:K8), H8:K8)), "")</f>
        <v>5</v>
      </c>
      <c r="M8" s="16" t="str">
        <f t="shared" si="1"/>
        <v>🟢</v>
      </c>
      <c r="N8" s="17">
        <v>40.0</v>
      </c>
      <c r="O8" s="17">
        <v>32.0</v>
      </c>
      <c r="P8" s="17">
        <v>5.0</v>
      </c>
      <c r="Q8" s="18">
        <f t="array" ref="Q8">IFERROR(AVERAGE(IF(ISNUMBER(P8), P8)), "")</f>
        <v>5</v>
      </c>
      <c r="R8" s="16" t="str">
        <f t="shared" si="2"/>
        <v>🟢</v>
      </c>
      <c r="S8" s="19">
        <v>4.0</v>
      </c>
      <c r="T8" s="18">
        <f t="array" ref="T8">IFERROR(AVERAGE(IF(ISNUMBER(S8), S8)), "")</f>
        <v>4</v>
      </c>
      <c r="U8" s="16" t="str">
        <f t="shared" si="3"/>
        <v>🟢</v>
      </c>
      <c r="V8" s="20">
        <v>4.0</v>
      </c>
      <c r="W8" s="18">
        <f t="array" ref="W8">IFERROR(AVERAGE(IF(ISNUMBER(V8), V8)), "")</f>
        <v>4</v>
      </c>
      <c r="X8" s="16" t="str">
        <f t="shared" si="4"/>
        <v>🟢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>
      <c r="A9" s="11" t="s">
        <v>31</v>
      </c>
      <c r="B9" s="11" t="s">
        <v>44</v>
      </c>
      <c r="C9" s="12">
        <v>3.0</v>
      </c>
      <c r="D9" s="13" t="s">
        <v>33</v>
      </c>
      <c r="E9" s="11" t="s">
        <v>34</v>
      </c>
      <c r="F9" s="14" t="s">
        <v>35</v>
      </c>
      <c r="G9" s="14" t="s">
        <v>37</v>
      </c>
      <c r="H9" s="15">
        <v>5.0</v>
      </c>
      <c r="I9" s="15">
        <v>5.0</v>
      </c>
      <c r="J9" s="15">
        <v>5.0</v>
      </c>
      <c r="K9" s="15">
        <v>5.0</v>
      </c>
      <c r="L9" s="8">
        <f t="array" ref="L9">IFERROR(AVERAGE(IF(ISNUMBER(H9:K9), H9:K9)), "")</f>
        <v>5</v>
      </c>
      <c r="M9" s="16" t="str">
        <f t="shared" si="1"/>
        <v>🟢</v>
      </c>
      <c r="N9" s="17">
        <v>40.0</v>
      </c>
      <c r="O9" s="17">
        <v>32.0</v>
      </c>
      <c r="P9" s="17">
        <v>5.0</v>
      </c>
      <c r="Q9" s="18">
        <f t="array" ref="Q9">IFERROR(AVERAGE(IF(ISNUMBER(P9), P9)), "")</f>
        <v>5</v>
      </c>
      <c r="R9" s="16" t="str">
        <f t="shared" si="2"/>
        <v>🟢</v>
      </c>
      <c r="S9" s="19">
        <v>5.0</v>
      </c>
      <c r="T9" s="18">
        <f t="array" ref="T9">IFERROR(AVERAGE(IF(ISNUMBER(S9), S9)), "")</f>
        <v>5</v>
      </c>
      <c r="U9" s="16" t="str">
        <f t="shared" si="3"/>
        <v>🟢</v>
      </c>
      <c r="V9" s="20">
        <v>5.0</v>
      </c>
      <c r="W9" s="18">
        <f t="array" ref="W9">IFERROR(AVERAGE(IF(ISNUMBER(V9), V9)), "")</f>
        <v>5</v>
      </c>
      <c r="X9" s="16" t="str">
        <f t="shared" si="4"/>
        <v>🟢</v>
      </c>
      <c r="Y9" s="2"/>
      <c r="Z9" s="2"/>
      <c r="AA9" s="2"/>
      <c r="AB9" s="11"/>
      <c r="AC9" s="11"/>
      <c r="AD9" s="2"/>
      <c r="AE9" s="2"/>
      <c r="AF9" s="2"/>
      <c r="AG9" s="2"/>
      <c r="AH9" s="2"/>
      <c r="AI9" s="2"/>
    </row>
    <row r="10">
      <c r="A10" s="11" t="s">
        <v>31</v>
      </c>
      <c r="B10" s="11" t="s">
        <v>45</v>
      </c>
      <c r="C10" s="12">
        <v>4.0</v>
      </c>
      <c r="D10" s="13" t="s">
        <v>33</v>
      </c>
      <c r="E10" s="11" t="s">
        <v>34</v>
      </c>
      <c r="F10" s="14" t="s">
        <v>35</v>
      </c>
      <c r="G10" s="14" t="s">
        <v>37</v>
      </c>
      <c r="H10" s="15">
        <v>5.0</v>
      </c>
      <c r="I10" s="15">
        <v>5.0</v>
      </c>
      <c r="J10" s="15">
        <v>5.0</v>
      </c>
      <c r="K10" s="15">
        <v>5.0</v>
      </c>
      <c r="L10" s="8">
        <f t="array" ref="L10">IFERROR(AVERAGE(IF(ISNUMBER(H10:K10), H10:K10)), "")</f>
        <v>5</v>
      </c>
      <c r="M10" s="16" t="str">
        <f t="shared" si="1"/>
        <v>🟢</v>
      </c>
      <c r="N10" s="17"/>
      <c r="O10" s="17"/>
      <c r="P10" s="17"/>
      <c r="Q10" s="18" t="str">
        <f t="array" ref="Q10">IFERROR(AVERAGE(IF(ISNUMBER(P10), P10)), "")</f>
        <v/>
      </c>
      <c r="R10" s="16" t="str">
        <f t="shared" si="2"/>
        <v>🟢</v>
      </c>
      <c r="S10" s="19"/>
      <c r="T10" s="18" t="str">
        <f t="array" ref="T10">IFERROR(AVERAGE(IF(ISNUMBER(S10), S10)), "")</f>
        <v/>
      </c>
      <c r="U10" s="16" t="str">
        <f t="shared" si="3"/>
        <v>🟢</v>
      </c>
      <c r="V10" s="20"/>
      <c r="W10" s="18" t="str">
        <f t="array" ref="W10">IFERROR(AVERAGE(IF(ISNUMBER(V10), V10)), "")</f>
        <v/>
      </c>
      <c r="X10" s="16" t="str">
        <f t="shared" si="4"/>
        <v>🟢</v>
      </c>
      <c r="Y10" s="2"/>
      <c r="Z10" s="2"/>
      <c r="AA10" s="2"/>
      <c r="AB10" s="11"/>
      <c r="AC10" s="11"/>
      <c r="AD10" s="2"/>
      <c r="AE10" s="2"/>
      <c r="AF10" s="2"/>
      <c r="AG10" s="2"/>
      <c r="AH10" s="2"/>
      <c r="AI10" s="2"/>
    </row>
    <row r="11">
      <c r="A11" s="11" t="s">
        <v>31</v>
      </c>
      <c r="B11" s="11" t="s">
        <v>46</v>
      </c>
      <c r="C11" s="12">
        <v>4.0</v>
      </c>
      <c r="D11" s="13" t="s">
        <v>33</v>
      </c>
      <c r="E11" s="11" t="s">
        <v>34</v>
      </c>
      <c r="F11" s="14"/>
      <c r="G11" s="14"/>
      <c r="H11" s="15"/>
      <c r="I11" s="15"/>
      <c r="J11" s="15"/>
      <c r="K11" s="15"/>
      <c r="L11" s="8" t="str">
        <f t="array" ref="L11">IFERROR(AVERAGE(IF(ISNUMBER(H11:K11), H11:K11)), "")</f>
        <v/>
      </c>
      <c r="M11" s="16" t="str">
        <f t="shared" si="1"/>
        <v>🟢</v>
      </c>
      <c r="N11" s="17"/>
      <c r="O11" s="17"/>
      <c r="P11" s="17"/>
      <c r="Q11" s="18" t="str">
        <f t="array" ref="Q11">IFERROR(AVERAGE(IF(ISNUMBER(P11), P11)), "")</f>
        <v/>
      </c>
      <c r="R11" s="16" t="str">
        <f t="shared" si="2"/>
        <v>🟢</v>
      </c>
      <c r="S11" s="19"/>
      <c r="T11" s="18" t="str">
        <f t="array" ref="T11">IFERROR(AVERAGE(IF(ISNUMBER(S11), S11)), "")</f>
        <v/>
      </c>
      <c r="U11" s="16" t="str">
        <f t="shared" si="3"/>
        <v>🟢</v>
      </c>
      <c r="V11" s="20"/>
      <c r="W11" s="18" t="str">
        <f t="array" ref="W11">IFERROR(AVERAGE(IF(ISNUMBER(V11), V11)), "")</f>
        <v/>
      </c>
      <c r="X11" s="16" t="str">
        <f t="shared" si="4"/>
        <v>🟢</v>
      </c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>
      <c r="A12" s="11" t="s">
        <v>31</v>
      </c>
      <c r="B12" s="11" t="s">
        <v>47</v>
      </c>
      <c r="C12" s="12">
        <v>4.0</v>
      </c>
      <c r="D12" s="13" t="s">
        <v>33</v>
      </c>
      <c r="E12" s="11" t="s">
        <v>34</v>
      </c>
      <c r="F12" s="14" t="s">
        <v>35</v>
      </c>
      <c r="G12" s="14" t="s">
        <v>37</v>
      </c>
      <c r="H12" s="15">
        <v>5.0</v>
      </c>
      <c r="I12" s="15">
        <v>5.0</v>
      </c>
      <c r="J12" s="15">
        <v>5.0</v>
      </c>
      <c r="K12" s="15">
        <v>5.0</v>
      </c>
      <c r="L12" s="8">
        <f t="array" ref="L12">IFERROR(AVERAGE(IF(ISNUMBER(H12:K12), H12:K12)), "")</f>
        <v>5</v>
      </c>
      <c r="M12" s="16" t="str">
        <f t="shared" si="1"/>
        <v>🟢</v>
      </c>
      <c r="N12" s="17"/>
      <c r="O12" s="17"/>
      <c r="P12" s="17"/>
      <c r="Q12" s="18" t="str">
        <f t="array" ref="Q12">IFERROR(AVERAGE(IF(ISNUMBER(P12), P12)), "")</f>
        <v/>
      </c>
      <c r="R12" s="16" t="str">
        <f t="shared" si="2"/>
        <v>🟢</v>
      </c>
      <c r="S12" s="19">
        <v>5.0</v>
      </c>
      <c r="T12" s="18">
        <f t="array" ref="T12">IFERROR(AVERAGE(IF(ISNUMBER(S12), S12)), "")</f>
        <v>5</v>
      </c>
      <c r="U12" s="16" t="str">
        <f t="shared" si="3"/>
        <v>🟢</v>
      </c>
      <c r="V12" s="20">
        <v>5.0</v>
      </c>
      <c r="W12" s="18">
        <f t="array" ref="W12">IFERROR(AVERAGE(IF(ISNUMBER(V12), V12)), "")</f>
        <v>5</v>
      </c>
      <c r="X12" s="16" t="str">
        <f t="shared" si="4"/>
        <v>🟢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>
      <c r="A13" s="11" t="s">
        <v>31</v>
      </c>
      <c r="B13" s="11" t="s">
        <v>48</v>
      </c>
      <c r="C13" s="12">
        <v>5.0</v>
      </c>
      <c r="D13" s="13" t="s">
        <v>49</v>
      </c>
      <c r="E13" s="11" t="s">
        <v>34</v>
      </c>
      <c r="F13" s="14"/>
      <c r="G13" s="14"/>
      <c r="H13" s="15"/>
      <c r="I13" s="15"/>
      <c r="J13" s="15"/>
      <c r="K13" s="15"/>
      <c r="L13" s="8" t="str">
        <f t="array" ref="L13">IFERROR(AVERAGE(IF(ISNUMBER(H13:K13), H13:K13)), "")</f>
        <v/>
      </c>
      <c r="M13" s="16" t="str">
        <f t="shared" si="1"/>
        <v>🟢</v>
      </c>
      <c r="N13" s="17"/>
      <c r="O13" s="17"/>
      <c r="P13" s="17"/>
      <c r="Q13" s="18" t="str">
        <f t="array" ref="Q13">IFERROR(AVERAGE(IF(ISNUMBER(P13), P13)), "")</f>
        <v/>
      </c>
      <c r="R13" s="16" t="str">
        <f t="shared" si="2"/>
        <v>🟢</v>
      </c>
      <c r="S13" s="19"/>
      <c r="T13" s="18" t="str">
        <f t="array" ref="T13">IFERROR(AVERAGE(IF(ISNUMBER(S13), S13)), "")</f>
        <v/>
      </c>
      <c r="U13" s="16" t="str">
        <f t="shared" si="3"/>
        <v>🟢</v>
      </c>
      <c r="V13" s="20"/>
      <c r="W13" s="18" t="str">
        <f t="array" ref="W13">IFERROR(AVERAGE(IF(ISNUMBER(V13), V13)), "")</f>
        <v/>
      </c>
      <c r="X13" s="16" t="str">
        <f t="shared" si="4"/>
        <v>🟢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>
      <c r="A14" s="11" t="s">
        <v>31</v>
      </c>
      <c r="B14" s="11" t="s">
        <v>50</v>
      </c>
      <c r="C14" s="12">
        <v>5.0</v>
      </c>
      <c r="D14" s="13" t="s">
        <v>49</v>
      </c>
      <c r="E14" s="11" t="s">
        <v>34</v>
      </c>
      <c r="F14" s="14"/>
      <c r="G14" s="14"/>
      <c r="H14" s="15"/>
      <c r="I14" s="15"/>
      <c r="J14" s="15"/>
      <c r="K14" s="15"/>
      <c r="L14" s="8" t="str">
        <f t="array" ref="L14">IFERROR(AVERAGE(IF(ISNUMBER(H14:K14), H14:K14)), "")</f>
        <v/>
      </c>
      <c r="M14" s="16" t="str">
        <f t="shared" si="1"/>
        <v>🟢</v>
      </c>
      <c r="N14" s="17"/>
      <c r="O14" s="17"/>
      <c r="P14" s="17"/>
      <c r="Q14" s="18" t="str">
        <f t="array" ref="Q14">IFERROR(AVERAGE(IF(ISNUMBER(P14), P14)), "")</f>
        <v/>
      </c>
      <c r="R14" s="16" t="str">
        <f t="shared" si="2"/>
        <v>🟢</v>
      </c>
      <c r="S14" s="19"/>
      <c r="T14" s="18" t="str">
        <f t="array" ref="T14">IFERROR(AVERAGE(IF(ISNUMBER(S14), S14)), "")</f>
        <v/>
      </c>
      <c r="U14" s="16" t="str">
        <f t="shared" si="3"/>
        <v>🟢</v>
      </c>
      <c r="V14" s="20"/>
      <c r="W14" s="18" t="str">
        <f t="array" ref="W14">IFERROR(AVERAGE(IF(ISNUMBER(V14), V14)), "")</f>
        <v/>
      </c>
      <c r="X14" s="16" t="str">
        <f t="shared" si="4"/>
        <v>🟢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>
      <c r="A15" s="11" t="s">
        <v>31</v>
      </c>
      <c r="B15" s="11" t="s">
        <v>46</v>
      </c>
      <c r="C15" s="12">
        <v>5.0</v>
      </c>
      <c r="D15" s="13" t="s">
        <v>49</v>
      </c>
      <c r="E15" s="11" t="s">
        <v>34</v>
      </c>
      <c r="F15" s="14"/>
      <c r="G15" s="14"/>
      <c r="H15" s="15"/>
      <c r="I15" s="15"/>
      <c r="J15" s="15"/>
      <c r="K15" s="15"/>
      <c r="L15" s="8" t="str">
        <f t="array" ref="L15">IFERROR(AVERAGE(IF(ISNUMBER(H15:K15), H15:K15)), "")</f>
        <v/>
      </c>
      <c r="M15" s="16" t="str">
        <f t="shared" si="1"/>
        <v>🟢</v>
      </c>
      <c r="N15" s="17"/>
      <c r="O15" s="17"/>
      <c r="P15" s="17"/>
      <c r="Q15" s="18" t="str">
        <f t="array" ref="Q15">IFERROR(AVERAGE(IF(ISNUMBER(P15), P15)), "")</f>
        <v/>
      </c>
      <c r="R15" s="16" t="str">
        <f t="shared" si="2"/>
        <v>🟢</v>
      </c>
      <c r="S15" s="19"/>
      <c r="T15" s="18" t="str">
        <f t="array" ref="T15">IFERROR(AVERAGE(IF(ISNUMBER(S15), S15)), "")</f>
        <v/>
      </c>
      <c r="U15" s="16" t="str">
        <f t="shared" si="3"/>
        <v>🟢</v>
      </c>
      <c r="V15" s="20"/>
      <c r="W15" s="18" t="str">
        <f t="array" ref="W15">IFERROR(AVERAGE(IF(ISNUMBER(V15), V15)), "")</f>
        <v/>
      </c>
      <c r="X15" s="16" t="str">
        <f t="shared" si="4"/>
        <v>🟢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>
      <c r="A16" s="2"/>
      <c r="B16" s="2"/>
      <c r="C16" s="12"/>
      <c r="D16" s="2"/>
      <c r="E16" s="2"/>
      <c r="F16" s="14"/>
      <c r="G16" s="14"/>
      <c r="H16" s="15"/>
      <c r="I16" s="15"/>
      <c r="J16" s="15"/>
      <c r="K16" s="15"/>
      <c r="L16" s="8" t="str">
        <f t="array" ref="L16">IFERROR(AVERAGE(IF(ISNUMBER(H16:K16), H16:K16)), "")</f>
        <v/>
      </c>
      <c r="M16" s="16" t="str">
        <f t="shared" si="1"/>
        <v>🟢</v>
      </c>
      <c r="N16" s="17"/>
      <c r="O16" s="17"/>
      <c r="P16" s="17"/>
      <c r="Q16" s="18" t="str">
        <f t="array" ref="Q16">IFERROR(AVERAGE(IF(ISNUMBER(P16), P16)), "")</f>
        <v/>
      </c>
      <c r="R16" s="16" t="str">
        <f t="shared" si="2"/>
        <v>🟢</v>
      </c>
      <c r="S16" s="19"/>
      <c r="T16" s="18" t="str">
        <f t="array" ref="T16">IFERROR(AVERAGE(IF(ISNUMBER(S16), S16)), "")</f>
        <v/>
      </c>
      <c r="U16" s="16" t="str">
        <f t="shared" si="3"/>
        <v>🟢</v>
      </c>
      <c r="V16" s="20"/>
      <c r="W16" s="18" t="str">
        <f t="array" ref="W16">IFERROR(AVERAGE(IF(ISNUMBER(V16), V16)), "")</f>
        <v/>
      </c>
      <c r="X16" s="16" t="str">
        <f t="shared" si="4"/>
        <v>🟢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>
      <c r="A17" s="2"/>
      <c r="B17" s="2"/>
      <c r="C17" s="12"/>
      <c r="D17" s="2"/>
      <c r="E17" s="2"/>
      <c r="F17" s="14"/>
      <c r="G17" s="14"/>
      <c r="H17" s="15"/>
      <c r="I17" s="15"/>
      <c r="J17" s="15"/>
      <c r="K17" s="15"/>
      <c r="L17" s="8" t="str">
        <f t="array" ref="L17">IFERROR(AVERAGE(IF(ISNUMBER(H17:K17), H17:K17)), "")</f>
        <v/>
      </c>
      <c r="M17" s="16" t="str">
        <f t="shared" si="1"/>
        <v>🟢</v>
      </c>
      <c r="N17" s="17"/>
      <c r="O17" s="17"/>
      <c r="P17" s="17"/>
      <c r="Q17" s="18" t="str">
        <f t="array" ref="Q17">IFERROR(AVERAGE(IF(ISNUMBER(P17), P17)), "")</f>
        <v/>
      </c>
      <c r="R17" s="16" t="str">
        <f t="shared" si="2"/>
        <v>🟢</v>
      </c>
      <c r="S17" s="19"/>
      <c r="T17" s="18" t="str">
        <f t="array" ref="T17">IFERROR(AVERAGE(IF(ISNUMBER(S17), S17)), "")</f>
        <v/>
      </c>
      <c r="U17" s="16" t="str">
        <f t="shared" si="3"/>
        <v>🟢</v>
      </c>
      <c r="V17" s="20"/>
      <c r="W17" s="18" t="str">
        <f t="array" ref="W17">IFERROR(AVERAGE(IF(ISNUMBER(V17), V17)), "")</f>
        <v/>
      </c>
      <c r="X17" s="16" t="str">
        <f t="shared" si="4"/>
        <v>🟢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>
      <c r="A18" s="2"/>
      <c r="B18" s="2"/>
      <c r="C18" s="12"/>
      <c r="D18" s="2"/>
      <c r="E18" s="2"/>
      <c r="F18" s="14"/>
      <c r="G18" s="14"/>
      <c r="H18" s="15"/>
      <c r="I18" s="15"/>
      <c r="J18" s="15"/>
      <c r="K18" s="15"/>
      <c r="L18" s="8" t="str">
        <f t="array" ref="L18">IFERROR(AVERAGE(IF(ISNUMBER(H18:K18), H18:K18)), "")</f>
        <v/>
      </c>
      <c r="M18" s="16" t="str">
        <f t="shared" si="1"/>
        <v>🟢</v>
      </c>
      <c r="N18" s="17"/>
      <c r="O18" s="17"/>
      <c r="P18" s="17"/>
      <c r="Q18" s="18" t="str">
        <f t="array" ref="Q18">IFERROR(AVERAGE(IF(ISNUMBER(P18), P18)), "")</f>
        <v/>
      </c>
      <c r="R18" s="16" t="str">
        <f t="shared" si="2"/>
        <v>🟢</v>
      </c>
      <c r="S18" s="19"/>
      <c r="T18" s="18" t="str">
        <f t="array" ref="T18">IFERROR(AVERAGE(IF(ISNUMBER(S18), S18)), "")</f>
        <v/>
      </c>
      <c r="U18" s="16" t="str">
        <f t="shared" si="3"/>
        <v>🟢</v>
      </c>
      <c r="V18" s="20"/>
      <c r="W18" s="18" t="str">
        <f t="array" ref="W18">IFERROR(AVERAGE(IF(ISNUMBER(V18), V18)), "")</f>
        <v/>
      </c>
      <c r="X18" s="16" t="str">
        <f t="shared" si="4"/>
        <v>🟢</v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>
      <c r="A19" s="2"/>
      <c r="B19" s="2"/>
      <c r="C19" s="12"/>
      <c r="D19" s="2"/>
      <c r="E19" s="2"/>
      <c r="F19" s="14"/>
      <c r="G19" s="14"/>
      <c r="H19" s="15"/>
      <c r="I19" s="15"/>
      <c r="J19" s="15"/>
      <c r="K19" s="15"/>
      <c r="L19" s="8" t="str">
        <f t="array" ref="L19">IFERROR(AVERAGE(IF(ISNUMBER(H19:K19), H19:K19)), "")</f>
        <v/>
      </c>
      <c r="M19" s="16" t="str">
        <f t="shared" si="1"/>
        <v>🟢</v>
      </c>
      <c r="N19" s="17"/>
      <c r="O19" s="17"/>
      <c r="P19" s="17"/>
      <c r="Q19" s="18" t="str">
        <f t="array" ref="Q19">IFERROR(AVERAGE(IF(ISNUMBER(P19), P19)), "")</f>
        <v/>
      </c>
      <c r="R19" s="16" t="str">
        <f t="shared" si="2"/>
        <v>🟢</v>
      </c>
      <c r="S19" s="19"/>
      <c r="T19" s="18" t="str">
        <f t="array" ref="T19">IFERROR(AVERAGE(IF(ISNUMBER(S19), S19)), "")</f>
        <v/>
      </c>
      <c r="U19" s="16" t="str">
        <f t="shared" si="3"/>
        <v>🟢</v>
      </c>
      <c r="V19" s="20"/>
      <c r="W19" s="18" t="str">
        <f t="array" ref="W19">IFERROR(AVERAGE(IF(ISNUMBER(V19), V19)), "")</f>
        <v/>
      </c>
      <c r="X19" s="16" t="str">
        <f t="shared" si="4"/>
        <v>🟢</v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>
      <c r="A20" s="2"/>
      <c r="B20" s="2"/>
      <c r="C20" s="12"/>
      <c r="D20" s="2"/>
      <c r="E20" s="2"/>
      <c r="F20" s="14"/>
      <c r="G20" s="14"/>
      <c r="H20" s="15"/>
      <c r="I20" s="15"/>
      <c r="J20" s="15"/>
      <c r="K20" s="15"/>
      <c r="L20" s="8" t="str">
        <f t="array" ref="L20">IFERROR(AVERAGE(IF(ISNUMBER(H20:K20), H20:K20)), "")</f>
        <v/>
      </c>
      <c r="M20" s="16" t="str">
        <f t="shared" si="1"/>
        <v>🟢</v>
      </c>
      <c r="N20" s="17"/>
      <c r="O20" s="17"/>
      <c r="P20" s="17"/>
      <c r="Q20" s="18" t="str">
        <f t="array" ref="Q20">IFERROR(AVERAGE(IF(ISNUMBER(P20), P20)), "")</f>
        <v/>
      </c>
      <c r="R20" s="16" t="str">
        <f t="shared" si="2"/>
        <v>🟢</v>
      </c>
      <c r="S20" s="19"/>
      <c r="T20" s="18" t="str">
        <f t="array" ref="T20">IFERROR(AVERAGE(IF(ISNUMBER(S20), S20)), "")</f>
        <v/>
      </c>
      <c r="U20" s="16" t="str">
        <f t="shared" si="3"/>
        <v>🟢</v>
      </c>
      <c r="V20" s="20"/>
      <c r="W20" s="18" t="str">
        <f t="array" ref="W20">IFERROR(AVERAGE(IF(ISNUMBER(V20), V20)), "")</f>
        <v/>
      </c>
      <c r="X20" s="16" t="str">
        <f t="shared" si="4"/>
        <v>🟢</v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>
      <c r="A21" s="2"/>
      <c r="B21" s="2"/>
      <c r="C21" s="12"/>
      <c r="D21" s="2"/>
      <c r="E21" s="2"/>
      <c r="F21" s="14"/>
      <c r="G21" s="14"/>
      <c r="H21" s="15"/>
      <c r="I21" s="15"/>
      <c r="J21" s="15"/>
      <c r="K21" s="15"/>
      <c r="L21" s="8" t="str">
        <f t="array" ref="L21">IFERROR(AVERAGE(IF(ISNUMBER(H21:K21), H21:K21)), "")</f>
        <v/>
      </c>
      <c r="M21" s="16" t="str">
        <f t="shared" si="1"/>
        <v>🟢</v>
      </c>
      <c r="N21" s="17"/>
      <c r="O21" s="17"/>
      <c r="P21" s="17"/>
      <c r="Q21" s="18" t="str">
        <f t="array" ref="Q21">IFERROR(AVERAGE(IF(ISNUMBER(P21), P21)), "")</f>
        <v/>
      </c>
      <c r="R21" s="16" t="str">
        <f t="shared" si="2"/>
        <v>🟢</v>
      </c>
      <c r="S21" s="19"/>
      <c r="T21" s="18" t="str">
        <f t="array" ref="T21">IFERROR(AVERAGE(IF(ISNUMBER(S21), S21)), "")</f>
        <v/>
      </c>
      <c r="U21" s="16" t="str">
        <f t="shared" si="3"/>
        <v>🟢</v>
      </c>
      <c r="V21" s="20"/>
      <c r="W21" s="18" t="str">
        <f t="array" ref="W21">IFERROR(AVERAGE(IF(ISNUMBER(V21), V21)), "")</f>
        <v/>
      </c>
      <c r="X21" s="16" t="str">
        <f t="shared" si="4"/>
        <v>🟢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>
      <c r="A22" s="2"/>
      <c r="B22" s="2"/>
      <c r="C22" s="12"/>
      <c r="D22" s="2"/>
      <c r="E22" s="2"/>
      <c r="F22" s="14"/>
      <c r="G22" s="14"/>
      <c r="H22" s="15"/>
      <c r="I22" s="15"/>
      <c r="J22" s="15"/>
      <c r="K22" s="15"/>
      <c r="L22" s="8" t="str">
        <f t="array" ref="L22">IFERROR(AVERAGE(IF(ISNUMBER(H22:K22), H22:K22)), "")</f>
        <v/>
      </c>
      <c r="M22" s="16" t="str">
        <f t="shared" si="1"/>
        <v>🟢</v>
      </c>
      <c r="N22" s="17"/>
      <c r="O22" s="17"/>
      <c r="P22" s="17"/>
      <c r="Q22" s="18" t="str">
        <f t="array" ref="Q22">IFERROR(AVERAGE(IF(ISNUMBER(P22), P22)), "")</f>
        <v/>
      </c>
      <c r="R22" s="16" t="str">
        <f t="shared" si="2"/>
        <v>🟢</v>
      </c>
      <c r="S22" s="19"/>
      <c r="T22" s="18" t="str">
        <f t="array" ref="T22">IFERROR(AVERAGE(IF(ISNUMBER(S22), S22)), "")</f>
        <v/>
      </c>
      <c r="U22" s="16" t="str">
        <f t="shared" si="3"/>
        <v>🟢</v>
      </c>
      <c r="V22" s="20"/>
      <c r="W22" s="18" t="str">
        <f t="array" ref="W22">IFERROR(AVERAGE(IF(ISNUMBER(V22), V22)), "")</f>
        <v/>
      </c>
      <c r="X22" s="16" t="str">
        <f t="shared" si="4"/>
        <v>🟢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>
      <c r="A23" s="2"/>
      <c r="B23" s="2"/>
      <c r="C23" s="12"/>
      <c r="D23" s="2"/>
      <c r="E23" s="2"/>
      <c r="F23" s="14"/>
      <c r="G23" s="14"/>
      <c r="H23" s="15"/>
      <c r="I23" s="15"/>
      <c r="J23" s="15"/>
      <c r="K23" s="15"/>
      <c r="L23" s="8" t="str">
        <f t="array" ref="L23">IFERROR(AVERAGE(IF(ISNUMBER(H23:K23), H23:K23)), "")</f>
        <v/>
      </c>
      <c r="M23" s="16" t="str">
        <f t="shared" si="1"/>
        <v>🟢</v>
      </c>
      <c r="N23" s="17"/>
      <c r="O23" s="17"/>
      <c r="P23" s="17"/>
      <c r="Q23" s="18" t="str">
        <f t="array" ref="Q23">IFERROR(AVERAGE(IF(ISNUMBER(P23), P23)), "")</f>
        <v/>
      </c>
      <c r="R23" s="16" t="str">
        <f t="shared" si="2"/>
        <v>🟢</v>
      </c>
      <c r="S23" s="19"/>
      <c r="T23" s="18" t="str">
        <f t="array" ref="T23">IFERROR(AVERAGE(IF(ISNUMBER(S23), S23)), "")</f>
        <v/>
      </c>
      <c r="U23" s="16" t="str">
        <f t="shared" si="3"/>
        <v>🟢</v>
      </c>
      <c r="V23" s="20"/>
      <c r="W23" s="18" t="str">
        <f t="array" ref="W23">IFERROR(AVERAGE(IF(ISNUMBER(V23), V23)), "")</f>
        <v/>
      </c>
      <c r="X23" s="16" t="str">
        <f t="shared" si="4"/>
        <v>🟢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>
      <c r="A24" s="2"/>
      <c r="B24" s="2"/>
      <c r="C24" s="12"/>
      <c r="D24" s="2"/>
      <c r="E24" s="2"/>
      <c r="F24" s="14"/>
      <c r="G24" s="14"/>
      <c r="H24" s="15"/>
      <c r="I24" s="15"/>
      <c r="J24" s="15"/>
      <c r="K24" s="15"/>
      <c r="L24" s="8" t="str">
        <f t="array" ref="L24">IFERROR(AVERAGE(IF(ISNUMBER(H24:K24), H24:K24)), "")</f>
        <v/>
      </c>
      <c r="M24" s="16" t="str">
        <f t="shared" si="1"/>
        <v>🟢</v>
      </c>
      <c r="N24" s="17"/>
      <c r="O24" s="17"/>
      <c r="P24" s="17"/>
      <c r="Q24" s="18" t="str">
        <f t="array" ref="Q24">IFERROR(AVERAGE(IF(ISNUMBER(P24), P24)), "")</f>
        <v/>
      </c>
      <c r="R24" s="16" t="str">
        <f t="shared" si="2"/>
        <v>🟢</v>
      </c>
      <c r="S24" s="19"/>
      <c r="T24" s="18" t="str">
        <f t="array" ref="T24">IFERROR(AVERAGE(IF(ISNUMBER(S24), S24)), "")</f>
        <v/>
      </c>
      <c r="U24" s="16" t="str">
        <f t="shared" si="3"/>
        <v>🟢</v>
      </c>
      <c r="V24" s="20"/>
      <c r="W24" s="18" t="str">
        <f t="array" ref="W24">IFERROR(AVERAGE(IF(ISNUMBER(V24), V24)), "")</f>
        <v/>
      </c>
      <c r="X24" s="16" t="str">
        <f t="shared" si="4"/>
        <v>🟢</v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>
      <c r="A25" s="2"/>
      <c r="B25" s="2"/>
      <c r="C25" s="12"/>
      <c r="D25" s="2"/>
      <c r="E25" s="2"/>
      <c r="F25" s="14"/>
      <c r="G25" s="14"/>
      <c r="H25" s="15"/>
      <c r="I25" s="15"/>
      <c r="J25" s="15"/>
      <c r="K25" s="15"/>
      <c r="L25" s="8" t="str">
        <f t="array" ref="L25">IFERROR(AVERAGE(IF(ISNUMBER(H25:K25), H25:K25)), "")</f>
        <v/>
      </c>
      <c r="M25" s="16" t="str">
        <f t="shared" si="1"/>
        <v>🟢</v>
      </c>
      <c r="N25" s="17"/>
      <c r="O25" s="17"/>
      <c r="P25" s="17"/>
      <c r="Q25" s="18" t="str">
        <f t="array" ref="Q25">IFERROR(AVERAGE(IF(ISNUMBER(P25), P25)), "")</f>
        <v/>
      </c>
      <c r="R25" s="16" t="str">
        <f t="shared" si="2"/>
        <v>🟢</v>
      </c>
      <c r="S25" s="19"/>
      <c r="T25" s="18" t="str">
        <f t="array" ref="T25">IFERROR(AVERAGE(IF(ISNUMBER(S25), S25)), "")</f>
        <v/>
      </c>
      <c r="U25" s="16" t="str">
        <f t="shared" si="3"/>
        <v>🟢</v>
      </c>
      <c r="V25" s="20"/>
      <c r="W25" s="18" t="str">
        <f t="array" ref="W25">IFERROR(AVERAGE(IF(ISNUMBER(V25), V25)), "")</f>
        <v/>
      </c>
      <c r="X25" s="16" t="str">
        <f t="shared" si="4"/>
        <v>🟢</v>
      </c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>
      <c r="A26" s="2"/>
      <c r="B26" s="2"/>
      <c r="C26" s="12"/>
      <c r="D26" s="2"/>
      <c r="E26" s="2"/>
      <c r="F26" s="14"/>
      <c r="G26" s="14"/>
      <c r="H26" s="15"/>
      <c r="I26" s="15"/>
      <c r="J26" s="15"/>
      <c r="K26" s="15"/>
      <c r="L26" s="8" t="str">
        <f t="array" ref="L26">IFERROR(AVERAGE(IF(ISNUMBER(H26:K26), H26:K26)), "")</f>
        <v/>
      </c>
      <c r="M26" s="16" t="str">
        <f t="shared" si="1"/>
        <v>🟢</v>
      </c>
      <c r="N26" s="17"/>
      <c r="O26" s="17"/>
      <c r="P26" s="17"/>
      <c r="Q26" s="18" t="str">
        <f t="array" ref="Q26">IFERROR(AVERAGE(IF(ISNUMBER(P26), P26)), "")</f>
        <v/>
      </c>
      <c r="R26" s="16" t="str">
        <f t="shared" si="2"/>
        <v>🟢</v>
      </c>
      <c r="S26" s="19"/>
      <c r="T26" s="18" t="str">
        <f t="array" ref="T26">IFERROR(AVERAGE(IF(ISNUMBER(S26), S26)), "")</f>
        <v/>
      </c>
      <c r="U26" s="16" t="str">
        <f t="shared" si="3"/>
        <v>🟢</v>
      </c>
      <c r="V26" s="20"/>
      <c r="W26" s="18" t="str">
        <f t="array" ref="W26">IFERROR(AVERAGE(IF(ISNUMBER(V26), V26)), "")</f>
        <v/>
      </c>
      <c r="X26" s="16" t="str">
        <f t="shared" si="4"/>
        <v>🟢</v>
      </c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>
      <c r="A27" s="2"/>
      <c r="B27" s="2"/>
      <c r="C27" s="12"/>
      <c r="D27" s="2"/>
      <c r="E27" s="2"/>
      <c r="F27" s="14"/>
      <c r="G27" s="14"/>
      <c r="H27" s="15"/>
      <c r="I27" s="15"/>
      <c r="J27" s="15"/>
      <c r="K27" s="15"/>
      <c r="L27" s="8" t="str">
        <f t="array" ref="L27">IFERROR(AVERAGE(IF(ISNUMBER(H27:K27), H27:K27)), "")</f>
        <v/>
      </c>
      <c r="M27" s="16" t="str">
        <f t="shared" si="1"/>
        <v>🟢</v>
      </c>
      <c r="N27" s="17"/>
      <c r="O27" s="17"/>
      <c r="P27" s="17"/>
      <c r="Q27" s="18" t="str">
        <f t="array" ref="Q27">IFERROR(AVERAGE(IF(ISNUMBER(P27), P27)), "")</f>
        <v/>
      </c>
      <c r="R27" s="16" t="str">
        <f t="shared" si="2"/>
        <v>🟢</v>
      </c>
      <c r="S27" s="19"/>
      <c r="T27" s="18" t="str">
        <f t="array" ref="T27">IFERROR(AVERAGE(IF(ISNUMBER(S27), S27)), "")</f>
        <v/>
      </c>
      <c r="U27" s="16" t="str">
        <f t="shared" si="3"/>
        <v>🟢</v>
      </c>
      <c r="V27" s="20"/>
      <c r="W27" s="18" t="str">
        <f t="array" ref="W27">IFERROR(AVERAGE(IF(ISNUMBER(V27), V27)), "")</f>
        <v/>
      </c>
      <c r="X27" s="16" t="str">
        <f t="shared" si="4"/>
        <v>🟢</v>
      </c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>
      <c r="A28" s="2"/>
      <c r="B28" s="2"/>
      <c r="C28" s="12"/>
      <c r="D28" s="2"/>
      <c r="E28" s="2"/>
      <c r="F28" s="14"/>
      <c r="G28" s="14"/>
      <c r="H28" s="15"/>
      <c r="I28" s="15"/>
      <c r="J28" s="15"/>
      <c r="K28" s="15"/>
      <c r="L28" s="8" t="str">
        <f t="array" ref="L28">IFERROR(AVERAGE(IF(ISNUMBER(H28:K28), H28:K28)), "")</f>
        <v/>
      </c>
      <c r="M28" s="16" t="str">
        <f t="shared" si="1"/>
        <v>🟢</v>
      </c>
      <c r="N28" s="17"/>
      <c r="O28" s="17"/>
      <c r="P28" s="17"/>
      <c r="Q28" s="18" t="str">
        <f t="array" ref="Q28">IFERROR(AVERAGE(IF(ISNUMBER(P28), P28)), "")</f>
        <v/>
      </c>
      <c r="R28" s="16" t="str">
        <f t="shared" si="2"/>
        <v>🟢</v>
      </c>
      <c r="S28" s="19"/>
      <c r="T28" s="18" t="str">
        <f t="array" ref="T28">IFERROR(AVERAGE(IF(ISNUMBER(S28), S28)), "")</f>
        <v/>
      </c>
      <c r="U28" s="16" t="str">
        <f t="shared" si="3"/>
        <v>🟢</v>
      </c>
      <c r="V28" s="20"/>
      <c r="W28" s="18" t="str">
        <f t="array" ref="W28">IFERROR(AVERAGE(IF(ISNUMBER(V28), V28)), "")</f>
        <v/>
      </c>
      <c r="X28" s="16" t="str">
        <f t="shared" si="4"/>
        <v>🟢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>
      <c r="A29" s="2"/>
      <c r="B29" s="2"/>
      <c r="C29" s="12"/>
      <c r="D29" s="2"/>
      <c r="E29" s="2"/>
      <c r="F29" s="14"/>
      <c r="G29" s="14"/>
      <c r="H29" s="15"/>
      <c r="I29" s="15"/>
      <c r="J29" s="15"/>
      <c r="K29" s="15"/>
      <c r="L29" s="8" t="str">
        <f t="array" ref="L29">IFERROR(AVERAGE(IF(ISNUMBER(H29:K29), H29:K29)), "")</f>
        <v/>
      </c>
      <c r="M29" s="16" t="str">
        <f t="shared" si="1"/>
        <v>🟢</v>
      </c>
      <c r="N29" s="17"/>
      <c r="O29" s="17"/>
      <c r="P29" s="17"/>
      <c r="Q29" s="18" t="str">
        <f t="array" ref="Q29">IFERROR(AVERAGE(IF(ISNUMBER(P29), P29)), "")</f>
        <v/>
      </c>
      <c r="R29" s="16" t="str">
        <f t="shared" si="2"/>
        <v>🟢</v>
      </c>
      <c r="S29" s="19"/>
      <c r="T29" s="18" t="str">
        <f t="array" ref="T29">IFERROR(AVERAGE(IF(ISNUMBER(S29), S29)), "")</f>
        <v/>
      </c>
      <c r="U29" s="16" t="str">
        <f t="shared" si="3"/>
        <v>🟢</v>
      </c>
      <c r="V29" s="20"/>
      <c r="W29" s="18" t="str">
        <f t="array" ref="W29">IFERROR(AVERAGE(IF(ISNUMBER(V29), V29)), "")</f>
        <v/>
      </c>
      <c r="X29" s="16" t="str">
        <f t="shared" si="4"/>
        <v>🟢</v>
      </c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>
      <c r="A30" s="2"/>
      <c r="B30" s="2"/>
      <c r="C30" s="12"/>
      <c r="D30" s="2"/>
      <c r="E30" s="2"/>
      <c r="F30" s="14"/>
      <c r="G30" s="14"/>
      <c r="H30" s="15"/>
      <c r="I30" s="15"/>
      <c r="J30" s="15"/>
      <c r="K30" s="15"/>
      <c r="L30" s="8" t="str">
        <f t="array" ref="L30">IFERROR(AVERAGE(IF(ISNUMBER(H30:K30), H30:K30)), "")</f>
        <v/>
      </c>
      <c r="M30" s="16" t="str">
        <f t="shared" si="1"/>
        <v>🟢</v>
      </c>
      <c r="N30" s="17"/>
      <c r="O30" s="17"/>
      <c r="P30" s="17"/>
      <c r="Q30" s="18" t="str">
        <f t="array" ref="Q30">IFERROR(AVERAGE(IF(ISNUMBER(P30), P30)), "")</f>
        <v/>
      </c>
      <c r="R30" s="16" t="str">
        <f t="shared" si="2"/>
        <v>🟢</v>
      </c>
      <c r="S30" s="19"/>
      <c r="T30" s="18" t="str">
        <f t="array" ref="T30">IFERROR(AVERAGE(IF(ISNUMBER(S30), S30)), "")</f>
        <v/>
      </c>
      <c r="U30" s="16" t="str">
        <f t="shared" si="3"/>
        <v>🟢</v>
      </c>
      <c r="V30" s="20"/>
      <c r="W30" s="18" t="str">
        <f t="array" ref="W30">IFERROR(AVERAGE(IF(ISNUMBER(V30), V30)), "")</f>
        <v/>
      </c>
      <c r="X30" s="16" t="str">
        <f t="shared" si="4"/>
        <v>🟢</v>
      </c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>
      <c r="A31" s="2"/>
      <c r="B31" s="2"/>
      <c r="C31" s="12"/>
      <c r="D31" s="2"/>
      <c r="E31" s="2"/>
      <c r="F31" s="14"/>
      <c r="G31" s="14"/>
      <c r="H31" s="15"/>
      <c r="I31" s="15"/>
      <c r="J31" s="15"/>
      <c r="K31" s="15"/>
      <c r="L31" s="8" t="str">
        <f t="array" ref="L31">IFERROR(AVERAGE(IF(ISNUMBER(H31:K31), H31:K31)), "")</f>
        <v/>
      </c>
      <c r="M31" s="16" t="str">
        <f t="shared" si="1"/>
        <v>🟢</v>
      </c>
      <c r="N31" s="17"/>
      <c r="O31" s="17"/>
      <c r="P31" s="17"/>
      <c r="Q31" s="18" t="str">
        <f t="array" ref="Q31">IFERROR(AVERAGE(IF(ISNUMBER(P31), P31)), "")</f>
        <v/>
      </c>
      <c r="R31" s="16" t="str">
        <f t="shared" si="2"/>
        <v>🟢</v>
      </c>
      <c r="S31" s="19"/>
      <c r="T31" s="18" t="str">
        <f t="array" ref="T31">IFERROR(AVERAGE(IF(ISNUMBER(S31), S31)), "")</f>
        <v/>
      </c>
      <c r="U31" s="16" t="str">
        <f t="shared" si="3"/>
        <v>🟢</v>
      </c>
      <c r="V31" s="20"/>
      <c r="W31" s="18" t="str">
        <f t="array" ref="W31">IFERROR(AVERAGE(IF(ISNUMBER(V31), V31)), "")</f>
        <v/>
      </c>
      <c r="X31" s="16" t="str">
        <f t="shared" si="4"/>
        <v>🟢</v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>
      <c r="A32" s="2"/>
      <c r="B32" s="2"/>
      <c r="C32" s="12"/>
      <c r="D32" s="2"/>
      <c r="E32" s="2"/>
      <c r="F32" s="14"/>
      <c r="G32" s="14"/>
      <c r="H32" s="15"/>
      <c r="I32" s="15"/>
      <c r="J32" s="15"/>
      <c r="K32" s="15"/>
      <c r="L32" s="8" t="str">
        <f t="array" ref="L32">IFERROR(AVERAGE(IF(ISNUMBER(H32:K32), H32:K32)), "")</f>
        <v/>
      </c>
      <c r="M32" s="16" t="str">
        <f t="shared" si="1"/>
        <v>🟢</v>
      </c>
      <c r="N32" s="17"/>
      <c r="O32" s="17"/>
      <c r="P32" s="17"/>
      <c r="Q32" s="18" t="str">
        <f t="array" ref="Q32">IFERROR(AVERAGE(IF(ISNUMBER(P32), P32)), "")</f>
        <v/>
      </c>
      <c r="R32" s="16" t="str">
        <f t="shared" si="2"/>
        <v>🟢</v>
      </c>
      <c r="S32" s="19"/>
      <c r="T32" s="18" t="str">
        <f t="array" ref="T32">IFERROR(AVERAGE(IF(ISNUMBER(S32), S32)), "")</f>
        <v/>
      </c>
      <c r="U32" s="16" t="str">
        <f t="shared" si="3"/>
        <v>🟢</v>
      </c>
      <c r="V32" s="20"/>
      <c r="W32" s="18" t="str">
        <f t="array" ref="W32">IFERROR(AVERAGE(IF(ISNUMBER(V32), V32)), "")</f>
        <v/>
      </c>
      <c r="X32" s="16" t="str">
        <f t="shared" si="4"/>
        <v>🟢</v>
      </c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>
      <c r="A33" s="2"/>
      <c r="B33" s="2"/>
      <c r="C33" s="12"/>
      <c r="D33" s="2"/>
      <c r="E33" s="2"/>
      <c r="F33" s="14"/>
      <c r="G33" s="14"/>
      <c r="H33" s="15"/>
      <c r="I33" s="15"/>
      <c r="J33" s="15"/>
      <c r="K33" s="15"/>
      <c r="L33" s="8" t="str">
        <f t="array" ref="L33">IFERROR(AVERAGE(IF(ISNUMBER(H33:K33), H33:K33)), "")</f>
        <v/>
      </c>
      <c r="M33" s="16" t="str">
        <f t="shared" si="1"/>
        <v>🟢</v>
      </c>
      <c r="N33" s="17"/>
      <c r="O33" s="17"/>
      <c r="P33" s="17"/>
      <c r="Q33" s="18" t="str">
        <f t="array" ref="Q33">IFERROR(AVERAGE(IF(ISNUMBER(P33), P33)), "")</f>
        <v/>
      </c>
      <c r="R33" s="16" t="str">
        <f t="shared" si="2"/>
        <v>🟢</v>
      </c>
      <c r="S33" s="19"/>
      <c r="T33" s="18" t="str">
        <f t="array" ref="T33">IFERROR(AVERAGE(IF(ISNUMBER(S33), S33)), "")</f>
        <v/>
      </c>
      <c r="U33" s="16" t="str">
        <f t="shared" si="3"/>
        <v>🟢</v>
      </c>
      <c r="V33" s="20"/>
      <c r="W33" s="18" t="str">
        <f t="array" ref="W33">IFERROR(AVERAGE(IF(ISNUMBER(V33), V33)), "")</f>
        <v/>
      </c>
      <c r="X33" s="16" t="str">
        <f t="shared" si="4"/>
        <v>🟢</v>
      </c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>
      <c r="A34" s="2"/>
      <c r="B34" s="2"/>
      <c r="C34" s="12"/>
      <c r="D34" s="2"/>
      <c r="E34" s="2"/>
      <c r="F34" s="14"/>
      <c r="G34" s="14"/>
      <c r="H34" s="15"/>
      <c r="I34" s="15"/>
      <c r="J34" s="15"/>
      <c r="K34" s="15"/>
      <c r="L34" s="8" t="str">
        <f t="array" ref="L34">IFERROR(AVERAGE(IF(ISNUMBER(H34:K34), H34:K34)), "")</f>
        <v/>
      </c>
      <c r="M34" s="16" t="str">
        <f t="shared" si="1"/>
        <v>🟢</v>
      </c>
      <c r="N34" s="17"/>
      <c r="O34" s="17"/>
      <c r="P34" s="17"/>
      <c r="Q34" s="18" t="str">
        <f t="array" ref="Q34">IFERROR(AVERAGE(IF(ISNUMBER(P34), P34)), "")</f>
        <v/>
      </c>
      <c r="R34" s="16" t="str">
        <f t="shared" si="2"/>
        <v>🟢</v>
      </c>
      <c r="S34" s="19"/>
      <c r="T34" s="18" t="str">
        <f t="array" ref="T34">IFERROR(AVERAGE(IF(ISNUMBER(S34), S34)), "")</f>
        <v/>
      </c>
      <c r="U34" s="16" t="str">
        <f t="shared" si="3"/>
        <v>🟢</v>
      </c>
      <c r="V34" s="20"/>
      <c r="W34" s="18" t="str">
        <f t="array" ref="W34">IFERROR(AVERAGE(IF(ISNUMBER(V34), V34)), "")</f>
        <v/>
      </c>
      <c r="X34" s="16" t="str">
        <f t="shared" si="4"/>
        <v>🟢</v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>
      <c r="A35" s="2"/>
      <c r="B35" s="2"/>
      <c r="C35" s="2"/>
      <c r="D35" s="2"/>
      <c r="E35" s="2"/>
      <c r="F35" s="23">
        <f t="shared" ref="F35:G35" si="5">COUNTIF(F4:F34, "Si") / COUNTA(F4:F34)</f>
        <v>1</v>
      </c>
      <c r="G35" s="23">
        <f t="shared" si="5"/>
        <v>0.125</v>
      </c>
      <c r="H35" s="2"/>
      <c r="I35" s="2"/>
      <c r="J35" s="2"/>
      <c r="K35" s="2"/>
      <c r="L35" s="24">
        <f t="array" ref="L35">IFERROR(AVERAGE(IF(ISNUMBER(L4:L34), L4:L34, "")), "")</f>
        <v>4.90625</v>
      </c>
      <c r="M35" s="16" t="str">
        <f t="shared" si="1"/>
        <v>🟢</v>
      </c>
      <c r="N35" s="2"/>
      <c r="O35" s="25">
        <f>SUM(O4:O34) / COUNTA(O4:O34)</f>
        <v>39.04</v>
      </c>
      <c r="P35" s="2"/>
      <c r="Q35" s="24">
        <f t="array" ref="Q35">IFERROR(AVERAGE(IF(ISNUMBER(Q4:Q34), Q4:Q34, "")), "")</f>
        <v>4.833333333</v>
      </c>
      <c r="R35" s="16" t="str">
        <f t="shared" si="2"/>
        <v>🟢</v>
      </c>
      <c r="S35" s="2"/>
      <c r="T35" s="24">
        <f t="array" ref="T35">IFERROR(AVERAGE(IF(ISNUMBER(T4:T34), T4:T34, "")), "")</f>
        <v>4.714285714</v>
      </c>
      <c r="U35" s="16" t="str">
        <f t="shared" si="3"/>
        <v>🟢</v>
      </c>
      <c r="V35" s="2"/>
      <c r="W35" s="24">
        <f t="array" ref="W35">IFERROR(AVERAGE(IF(ISNUMBER(W4:W34), W4:W34, "")), "")</f>
        <v>4.857142857</v>
      </c>
      <c r="X35" s="16" t="str">
        <f t="shared" si="4"/>
        <v>🟢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>
      <c r="A36" s="26"/>
      <c r="B36" s="27"/>
      <c r="C36" s="2"/>
      <c r="D36" s="2"/>
      <c r="E36" s="2"/>
      <c r="F36" s="28" t="s">
        <v>51</v>
      </c>
      <c r="G36" s="28" t="s">
        <v>51</v>
      </c>
      <c r="H36" s="2"/>
      <c r="I36" s="2"/>
      <c r="J36" s="2"/>
      <c r="K36" s="2"/>
      <c r="L36" s="2"/>
      <c r="M36" s="2"/>
      <c r="N36" s="2"/>
      <c r="O36" s="28" t="s">
        <v>52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>
      <c r="A37" s="26"/>
      <c r="B37" s="2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>
      <c r="A38" s="26"/>
      <c r="B38" s="2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</row>
  </sheetData>
  <mergeCells count="4">
    <mergeCell ref="H1:X1"/>
    <mergeCell ref="Z1:AH1"/>
    <mergeCell ref="H2:K2"/>
    <mergeCell ref="Z6:AH6"/>
  </mergeCells>
  <dataValidations>
    <dataValidation type="list" allowBlank="1" showErrorMessage="1" sqref="A4:A34">
      <formula1>"COELSA,TOM,Modo,Google,Warner,BID"</formula1>
    </dataValidation>
    <dataValidation type="list" allowBlank="1" showErrorMessage="1" sqref="E4:E34">
      <formula1>"Gast,Vanu,Malen,Lola,Vicky A"</formula1>
    </dataValidation>
    <dataValidation type="list" allowBlank="1" showErrorMessage="1" sqref="D4:D34">
      <formula1>"Gast,Vanu,Lola,Vicky A,Malen,Trini,Romi,Xavi,Sandra,Ina,Sol"</formula1>
    </dataValidation>
    <dataValidation type="list" allowBlank="1" showErrorMessage="1" sqref="F4:G34">
      <formula1>"Si,No"</formula1>
    </dataValidation>
  </dataValidations>
  <drawing r:id="rId2"/>
  <legacyDrawing r:id="rId3"/>
</worksheet>
</file>